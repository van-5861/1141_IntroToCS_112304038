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1141_IntroToCS_112304038\HW3_Excel1\"/>
    </mc:Choice>
  </mc:AlternateContent>
  <xr:revisionPtr revIDLastSave="0" documentId="8_{7713FD47-C568-4E81-AB83-C9B44C61F8B1}" xr6:coauthVersionLast="47" xr6:coauthVersionMax="47" xr10:uidLastSave="{00000000-0000-0000-0000-000000000000}"/>
  <bookViews>
    <workbookView xWindow="-98" yWindow="-98" windowWidth="21795" windowHeight="11625" xr2:uid="{60C2E2F6-AD98-4042-9BF5-DA3DB7B4AD4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/>
  <c r="N2" i="1"/>
  <c r="D17" i="1"/>
  <c r="C17" i="1"/>
  <c r="H3" i="1"/>
  <c r="J3" i="1" s="1"/>
  <c r="H4" i="1"/>
  <c r="J4" i="1" s="1"/>
  <c r="H5" i="1"/>
  <c r="J5" i="1" s="1"/>
  <c r="K5" i="1" s="1" a="1"/>
  <c r="K5" i="1" s="1"/>
  <c r="H6" i="1"/>
  <c r="J6" i="1" s="1"/>
  <c r="L6" i="1" s="1"/>
  <c r="H7" i="1"/>
  <c r="J7" i="1" s="1"/>
  <c r="K7" i="1" s="1" a="1"/>
  <c r="K7" i="1" s="1"/>
  <c r="H8" i="1"/>
  <c r="J8" i="1" s="1"/>
  <c r="H9" i="1"/>
  <c r="H10" i="1"/>
  <c r="J10" i="1" s="1"/>
  <c r="H11" i="1"/>
  <c r="J11" i="1" s="1"/>
  <c r="H12" i="1"/>
  <c r="J12" i="1" s="1"/>
  <c r="H13" i="1"/>
  <c r="J13" i="1" s="1"/>
  <c r="H14" i="1"/>
  <c r="J14" i="1" s="1"/>
  <c r="K14" i="1" s="1" a="1"/>
  <c r="K14" i="1" s="1"/>
  <c r="H15" i="1"/>
  <c r="J15" i="1" s="1"/>
  <c r="K15" i="1" s="1" a="1"/>
  <c r="K15" i="1" s="1"/>
  <c r="H2" i="1"/>
  <c r="J2" i="1" s="1"/>
  <c r="K2" i="1" s="1" a="1"/>
  <c r="K2" i="1" s="1"/>
  <c r="H17" i="1" l="1"/>
  <c r="L4" i="1"/>
  <c r="K4" i="1" a="1"/>
  <c r="K4" i="1" s="1"/>
  <c r="L3" i="1"/>
  <c r="K3" i="1" a="1"/>
  <c r="K3" i="1" s="1"/>
  <c r="K6" i="1" a="1"/>
  <c r="K6" i="1" s="1"/>
  <c r="L2" i="1"/>
  <c r="L15" i="1"/>
  <c r="L14" i="1"/>
  <c r="J17" i="1"/>
  <c r="K13" i="1" a="1"/>
  <c r="K13" i="1" s="1"/>
  <c r="L13" i="1"/>
  <c r="K12" i="1" a="1"/>
  <c r="K12" i="1" s="1"/>
  <c r="L12" i="1"/>
  <c r="K11" i="1" a="1"/>
  <c r="K11" i="1" s="1"/>
  <c r="L11" i="1"/>
  <c r="K10" i="1" a="1"/>
  <c r="K10" i="1" s="1"/>
  <c r="L10" i="1"/>
  <c r="K8" i="1" a="1"/>
  <c r="K8" i="1" s="1"/>
  <c r="L8" i="1"/>
  <c r="L7" i="1"/>
  <c r="L5" i="1"/>
  <c r="J9" i="1"/>
  <c r="K9" i="1" l="1" a="1"/>
  <c r="K9" i="1" s="1"/>
  <c r="L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<sst xmlns="http://schemas.openxmlformats.org/spreadsheetml/2006/main" count="34" uniqueCount="34">
  <si>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</si>
  <si>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</si>
  <si>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</si>
  <si>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</si>
  <si>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</si>
  <si>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</si>
  <si>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</si>
  <si>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</si>
  <si>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</si>
  <si>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</si>
  <si>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</si>
  <si>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</si>
  <si>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</si>
  <si>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</si>
  <si>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</si>
  <si>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</si>
  <si>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</si>
  <si>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</si>
  <si>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</si>
  <si>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</si>
  <si>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</si>
  <si>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Midterm</t>
    <phoneticPr fontId="2" type="noConversion"/>
  </si>
  <si>
    <t>Q1: Exam_Average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</si>
  <si>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</si>
  <si>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</si>
  <si>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</si>
  <si>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</si>
  <si>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</si>
  <si>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</si>
  <si>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</si>
  <si>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</si>
  <si>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</si>
  <si>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pass</t>
    <phoneticPr fontId="2" type="noConversion"/>
  </si>
  <si>
    <t>fail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</si>
</sst>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</cellXfs>
  <cellStyles count="1">
    <cellStyle name="一般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overall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工作表1!$J$1</c:f>
              <c:strCache>
                <c:ptCount val="1"/>
                <c:pt idx="0">
                  <c:v>Q2: overall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工作表1!$B$2:$B$15</c:f>
              <c:strCache>
                <c:ptCount val="14"/>
                <c:pt idx="0">
                  <c:v>何大美</c:v>
                </c:pt>
                <c:pt idx="1">
                  <c:v>陳慢慢</c:v>
                </c:pt>
                <c:pt idx="2">
                  <c:v>黃阿坤</c:v>
                </c:pt>
                <c:pt idx="3">
                  <c:v>李大仁</c:v>
                </c:pt>
                <c:pt idx="4">
                  <c:v>陳小奇</c:v>
                </c:pt>
                <c:pt idx="5">
                  <c:v>羅小花</c:v>
                </c:pt>
                <c:pt idx="6">
                  <c:v>李小君</c:v>
                </c:pt>
                <c:pt idx="7">
                  <c:v>李大輝</c:v>
                </c:pt>
                <c:pt idx="8">
                  <c:v>白阿國</c:v>
                </c:pt>
                <c:pt idx="9">
                  <c:v>王小明</c:v>
                </c:pt>
                <c:pt idx="10">
                  <c:v>李大月</c:v>
                </c:pt>
                <c:pt idx="11">
                  <c:v>林大義</c:v>
                </c:pt>
                <c:pt idx="12">
                  <c:v>宋小倫</c:v>
                </c:pt>
                <c:pt idx="13">
                  <c:v>許亮亮</c:v>
                </c:pt>
              </c:strCache>
            </c:strRef>
          </c:cat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</c:v>
                </c:pt>
                <c:pt idx="4">
                  <c:v>84.7</c:v>
                </c:pt>
                <c:pt idx="5">
                  <c:v>80.8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2-4359-AD20-F32D4F2FF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7985200"/>
        <c:axId val="1557985680"/>
      </c:barChart>
      <c:catAx>
        <c:axId val="155798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57985680"/>
        <c:crosses val="autoZero"/>
        <c:auto val="1"/>
        <c:lblAlgn val="ctr"/>
        <c:lblOffset val="100"/>
        <c:noMultiLvlLbl val="0"/>
      </c:catAx>
      <c:valAx>
        <c:axId val="155798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5798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49-46A6-AB25-12EF300B3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36-4280-A5CE-FCDBCC59CAA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工作表1!$M$2:$M$3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工作表1!$N$2:$N$3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9-46A6-AB25-12EF300B3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507203</xdr:colOff>
      <xdr:row>24</xdr:row>
      <xdr:rowOff>23814</xdr:rowOff>
    </xdr:from>
    <xdr:to>
      <xdr:col>9</xdr:col>
      <xdr:colOff>1150822</xdr:colOff>
      <xdr:row>37</xdr:row>
      <xdr:rowOff>104775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F156B958-36F3-BB42-BD95-94DFC49FD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11905</xdr:colOff>
      <xdr:row>16</xdr:row>
      <xdr:rowOff>28575</xdr:rowOff>
    </xdr:from>
    <xdr:to>
      <xdr:col>16</xdr:col>
      <xdr:colOff>350043</xdr:colOff>
      <xdr:row>29</xdr:row>
      <xdr:rowOff>109537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AE95E19A-5D28-C80E-4434-DEB0C173E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N24"/>
  <sheetViews>
    <sheetView tabSelected="1" topLeftCell="C1" zoomScaleNormal="100" workbookViewId="0">
      <selection activeCell="K24" sqref="K24"/>
    </sheetView>
  </sheetViews>
  <sheetFormatPr defaultRowHeight="16.149999999999999"/>
  <cols>
    <col min="3" max="4" width="13" bestFit="1" customWidth="1"/>
    <col min="8" max="8" width="18.6640625" bestFit="1" customWidth="1"/>
    <col min="10" max="10" width="16.1328125" bestFit="1" customWidth="1"/>
    <col min="11" max="11" width="24.19921875" customWidth="1"/>
    <col min="12" max="12" width="23" customWidth="1"/>
  </cols>
  <sheetData>
    <row r="1" spans="1:1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3" t="s">
        <v>22</v>
      </c>
      <c r="I1" s="1" t="s">
        <v>21</v>
      </c>
      <c r="J1" s="3" t="s">
        <v>23</v>
      </c>
      <c r="K1" s="3" t="s">
        <v>24</v>
      </c>
      <c r="L1" s="3" t="s">
        <v>25</v>
      </c>
    </row>
    <row r="2" spans="1:14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>
        <f>H2*0.5+I2*0.5</f>
        <v>91.7</v>
      </c>
      <c r="K2" t="str" cm="1">
        <f t="array" ref="K2">_xlfn.IFS(90&lt;=J2,"A",80&lt;=J2,"B",70&lt;=J2,"C",60&lt;=J2,"D",60&gt;J2,"F")</f>
        <v>A</v>
      </c>
      <c r="L2" t="str">
        <f>IF(J2&gt;=60,"pass","fail")</f>
        <v>pass</v>
      </c>
      <c r="M2" t="s">
        <v>32</v>
      </c>
      <c r="N2">
        <f>COUNTIF(L2:L15,"pass")</f>
        <v>12</v>
      </c>
    </row>
    <row r="3" spans="1:14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5" si="0">AVERAGE(C3:G3)</f>
        <v>86</v>
      </c>
      <c r="I3" s="1">
        <v>94</v>
      </c>
      <c r="J3">
        <f t="shared" ref="J3:J15" si="1">H3*0.5+I3*0.5</f>
        <v>90</v>
      </c>
      <c r="K3" t="str" cm="1">
        <f t="array" ref="K3">_xlfn.IFS(90&lt;=J3,"A",80&lt;=J3,"B",70&lt;=J3,"C",60&lt;=J3,"D",60&gt;J3,"F")</f>
        <v>A</v>
      </c>
      <c r="L3" t="str">
        <f t="shared" ref="L3:L15" si="2">IF(J3&gt;=60,"pass","fail")</f>
        <v>pass</v>
      </c>
      <c r="M3" t="s">
        <v>33</v>
      </c>
      <c r="N3">
        <f>COUNTIF(L2:L15,"fail")</f>
        <v>2</v>
      </c>
    </row>
    <row r="4" spans="1:14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0"/>
        <v>82.4</v>
      </c>
      <c r="I4" s="1">
        <v>80</v>
      </c>
      <c r="J4">
        <f t="shared" si="1"/>
        <v>81.2</v>
      </c>
      <c r="K4" t="str" cm="1">
        <f t="array" ref="K4">_xlfn.IFS(90&lt;=J4,"A",80&lt;=J4,"B",70&lt;=J4,"C",60&lt;=J4,"D",60&gt;J4,"F")</f>
        <v>B</v>
      </c>
      <c r="L4" t="str">
        <f t="shared" si="2"/>
        <v>pass</v>
      </c>
    </row>
    <row r="5" spans="1:14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0"/>
        <v>81.599999999999994</v>
      </c>
      <c r="I5" s="1">
        <v>80</v>
      </c>
      <c r="J5">
        <f t="shared" si="1"/>
        <v>80.8</v>
      </c>
      <c r="K5" t="str" cm="1">
        <f t="array" ref="K5">_xlfn.IFS(90&lt;=J5,"A",80&lt;=J5,"B",70&lt;=J5,"C",60&lt;=J5,"D",60&gt;J5,"F")</f>
        <v>B</v>
      </c>
      <c r="L5" t="str">
        <f t="shared" si="2"/>
        <v>pass</v>
      </c>
    </row>
    <row r="6" spans="1:14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0"/>
        <v>81.400000000000006</v>
      </c>
      <c r="I6" s="1">
        <v>88</v>
      </c>
      <c r="J6">
        <f t="shared" si="1"/>
        <v>84.7</v>
      </c>
      <c r="K6" t="str" cm="1">
        <f t="array" ref="K6">_xlfn.IFS(90&lt;=J6,"A",80&lt;=J6,"B",70&lt;=J6,"C",60&lt;=J6,"D",60&gt;J6,"F")</f>
        <v>B</v>
      </c>
      <c r="L6" t="str">
        <f t="shared" si="2"/>
        <v>pass</v>
      </c>
    </row>
    <row r="7" spans="1:14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0"/>
        <v>80.599999999999994</v>
      </c>
      <c r="I7" s="1">
        <v>81</v>
      </c>
      <c r="J7">
        <f t="shared" si="1"/>
        <v>80.8</v>
      </c>
      <c r="K7" t="str" cm="1">
        <f t="array" ref="K7">_xlfn.IFS(90&lt;=J7,"A",80&lt;=J7,"B",70&lt;=J7,"C",60&lt;=J7,"D",60&gt;J7,"F")</f>
        <v>B</v>
      </c>
      <c r="L7" t="str">
        <f t="shared" si="2"/>
        <v>pass</v>
      </c>
    </row>
    <row r="8" spans="1:14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78.8</v>
      </c>
      <c r="I8" s="1">
        <v>77</v>
      </c>
      <c r="J8">
        <f t="shared" si="1"/>
        <v>77.900000000000006</v>
      </c>
      <c r="K8" t="str" cm="1">
        <f t="array" ref="K8">_xlfn.IFS(90&lt;=J8,"A",80&lt;=J8,"B",70&lt;=J8,"C",60&lt;=J8,"D",60&gt;J8,"F")</f>
        <v>C</v>
      </c>
      <c r="L8" t="str">
        <f t="shared" si="2"/>
        <v>pass</v>
      </c>
    </row>
    <row r="9" spans="1:14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0"/>
        <v>75.400000000000006</v>
      </c>
      <c r="I9" s="1">
        <v>73</v>
      </c>
      <c r="J9">
        <f t="shared" si="1"/>
        <v>74.2</v>
      </c>
      <c r="K9" t="str" cm="1">
        <f t="array" ref="K9">_xlfn.IFS(90&lt;=J9,"A",80&lt;=J9,"B",70&lt;=J9,"C",60&lt;=J9,"D",60&gt;J9,"F")</f>
        <v>C</v>
      </c>
      <c r="L9" t="str">
        <f t="shared" si="2"/>
        <v>pass</v>
      </c>
    </row>
    <row r="10" spans="1:14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0"/>
        <v>73.400000000000006</v>
      </c>
      <c r="I10" s="1">
        <v>77</v>
      </c>
      <c r="J10">
        <f t="shared" si="1"/>
        <v>75.2</v>
      </c>
      <c r="K10" t="str" cm="1">
        <f t="array" ref="K10">_xlfn.IFS(90&lt;=J10,"A",80&lt;=J10,"B",70&lt;=J10,"C",60&lt;=J10,"D",60&gt;J10,"F")</f>
        <v>C</v>
      </c>
      <c r="L10" t="str">
        <f t="shared" si="2"/>
        <v>pass</v>
      </c>
    </row>
    <row r="11" spans="1:14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0"/>
        <v>73.2</v>
      </c>
      <c r="I11" s="1">
        <v>82</v>
      </c>
      <c r="J11">
        <f t="shared" si="1"/>
        <v>77.599999999999994</v>
      </c>
      <c r="K11" t="str" cm="1">
        <f t="array" ref="K11">_xlfn.IFS(90&lt;=J11,"A",80&lt;=J11,"B",70&lt;=J11,"C",60&lt;=J11,"D",60&gt;J11,"F")</f>
        <v>C</v>
      </c>
      <c r="L11" t="str">
        <f t="shared" si="2"/>
        <v>pass</v>
      </c>
    </row>
    <row r="12" spans="1:14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0"/>
        <v>73.2</v>
      </c>
      <c r="I12" s="1">
        <v>88</v>
      </c>
      <c r="J12">
        <f t="shared" si="1"/>
        <v>80.599999999999994</v>
      </c>
      <c r="K12" t="str" cm="1">
        <f t="array" ref="K12">_xlfn.IFS(90&lt;=J12,"A",80&lt;=J12,"B",70&lt;=J12,"C",60&lt;=J12,"D",60&gt;J12,"F")</f>
        <v>B</v>
      </c>
      <c r="L12" t="str">
        <f t="shared" si="2"/>
        <v>pass</v>
      </c>
    </row>
    <row r="13" spans="1:14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66</v>
      </c>
      <c r="I13" s="1">
        <v>52</v>
      </c>
      <c r="J13">
        <f t="shared" si="1"/>
        <v>59</v>
      </c>
      <c r="K13" t="str" cm="1">
        <f t="array" ref="K13">_xlfn.IFS(90&lt;=J13,"A",80&lt;=J13,"B",70&lt;=J13,"C",60&lt;=J13,"D",60&gt;J13,"F")</f>
        <v>F</v>
      </c>
      <c r="L13" t="str">
        <f t="shared" si="2"/>
        <v>fail</v>
      </c>
    </row>
    <row r="14" spans="1:14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0"/>
        <v>64.8</v>
      </c>
      <c r="I14" s="1">
        <v>69</v>
      </c>
      <c r="J14">
        <f t="shared" si="1"/>
        <v>66.900000000000006</v>
      </c>
      <c r="K14" t="str" cm="1">
        <f t="array" ref="K14">_xlfn.IFS(90&lt;=J14,"A",80&lt;=J14,"B",70&lt;=J14,"C",60&lt;=J14,"D",60&gt;J14,"F")</f>
        <v>D</v>
      </c>
      <c r="L14" t="str">
        <f t="shared" si="2"/>
        <v>pass</v>
      </c>
    </row>
    <row r="15" spans="1:14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0"/>
        <v>57.2</v>
      </c>
      <c r="I15" s="1">
        <v>54</v>
      </c>
      <c r="J15">
        <f t="shared" si="1"/>
        <v>55.6</v>
      </c>
      <c r="K15" t="str" cm="1">
        <f t="array" ref="K15">_xlfn.IFS(90&lt;=J15,"A",80&lt;=J15,"B",70&lt;=J15,"C",60&lt;=J15,"D",60&gt;J15,"F")</f>
        <v>F</v>
      </c>
      <c r="L15" t="str">
        <f t="shared" si="2"/>
        <v>fail</v>
      </c>
    </row>
    <row r="16" spans="1:14">
      <c r="C16" s="4" t="s">
        <v>27</v>
      </c>
      <c r="D16" s="4" t="s">
        <v>28</v>
      </c>
      <c r="H16" s="4" t="s">
        <v>29</v>
      </c>
      <c r="J16" s="4" t="s">
        <v>26</v>
      </c>
      <c r="L16" s="4" t="s">
        <v>31</v>
      </c>
    </row>
    <row r="17" spans="3:10">
      <c r="C17">
        <f>LARGE(C2:C15,1)</f>
        <v>98</v>
      </c>
      <c r="D17">
        <f>LARGE(D2:D15,2)</f>
        <v>92</v>
      </c>
      <c r="H17" s="1">
        <f>COUNTIF(H2:H15,"&lt;80")</f>
        <v>8</v>
      </c>
      <c r="J17">
        <f>AVERAGE(J2:J15)</f>
        <v>76.871428571428581</v>
      </c>
    </row>
    <row r="24" spans="3:10">
      <c r="J24" s="4" t="s">
        <v>30</v>
      </c>
    </row>
  </sheetData>
  <phoneticPr fontId="2" type="noConversion"/>
  <conditionalFormatting sqref="L2:L15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李文勝</cp:lastModifiedBy>
  <dcterms:created xsi:type="dcterms:W3CDTF">2023-10-19T05:27:10Z</dcterms:created>
  <dcterms:modified xsi:type="dcterms:W3CDTF">2025-10-06T08:59:14Z</dcterms:modified>
</cp:coreProperties>
</file>